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ivesonline-my.sharepoint.com/personal/u0138703_vives_be/Documents/vakken/Machine_Learning/2024_2025/02_linear_regression/datasets/"/>
    </mc:Choice>
  </mc:AlternateContent>
  <xr:revisionPtr revIDLastSave="47" documentId="11_B4A264833BF66FFC05FC9890E22D62B1A039042E" xr6:coauthVersionLast="47" xr6:coauthVersionMax="47" xr10:uidLastSave="{9CAB4955-F3A3-4D34-8084-C756C4E16C5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C16" i="1"/>
  <c r="D16" i="1"/>
  <c r="F16" i="1"/>
  <c r="B17" i="1"/>
  <c r="C17" i="1"/>
  <c r="D17" i="1"/>
  <c r="F17" i="1"/>
  <c r="B18" i="1"/>
  <c r="C18" i="1"/>
  <c r="D18" i="1"/>
  <c r="B19" i="1"/>
  <c r="C19" i="1"/>
  <c r="D19" i="1"/>
  <c r="B20" i="1"/>
  <c r="C20" i="1"/>
  <c r="D20" i="1"/>
  <c r="F20" i="1"/>
  <c r="B21" i="1"/>
  <c r="C21" i="1"/>
  <c r="D21" i="1"/>
  <c r="B22" i="1"/>
  <c r="C22" i="1"/>
  <c r="D22" i="1"/>
  <c r="B23" i="1"/>
  <c r="C23" i="1"/>
  <c r="D23" i="1"/>
  <c r="F23" i="1"/>
  <c r="B24" i="1"/>
  <c r="C24" i="1"/>
  <c r="D24" i="1"/>
  <c r="B25" i="1"/>
  <c r="C25" i="1"/>
  <c r="D25" i="1"/>
  <c r="F25" i="1"/>
  <c r="A25" i="1"/>
  <c r="G25" i="1" s="1"/>
  <c r="A17" i="1"/>
  <c r="G17" i="1" s="1"/>
  <c r="A18" i="1"/>
  <c r="G18" i="1" s="1"/>
  <c r="A19" i="1"/>
  <c r="A20" i="1"/>
  <c r="G20" i="1" s="1"/>
  <c r="A21" i="1"/>
  <c r="A22" i="1"/>
  <c r="G22" i="1" s="1"/>
  <c r="A23" i="1"/>
  <c r="G23" i="1" s="1"/>
  <c r="A24" i="1"/>
  <c r="G24" i="1" s="1"/>
  <c r="A16" i="1"/>
  <c r="G16" i="1" s="1"/>
  <c r="F3" i="1"/>
  <c r="F4" i="1"/>
  <c r="F18" i="1" s="1"/>
  <c r="F5" i="1"/>
  <c r="F19" i="1" s="1"/>
  <c r="F6" i="1"/>
  <c r="F7" i="1"/>
  <c r="F21" i="1" s="1"/>
  <c r="F8" i="1"/>
  <c r="F22" i="1" s="1"/>
  <c r="F9" i="1"/>
  <c r="F10" i="1"/>
  <c r="F24" i="1" s="1"/>
  <c r="F11" i="1"/>
  <c r="F2" i="1"/>
  <c r="G21" i="1" l="1"/>
  <c r="G19" i="1"/>
</calcChain>
</file>

<file path=xl/sharedStrings.xml><?xml version="1.0" encoding="utf-8"?>
<sst xmlns="http://schemas.openxmlformats.org/spreadsheetml/2006/main" count="20" uniqueCount="13">
  <si>
    <t>Size (sqft)</t>
  </si>
  <si>
    <t>Number of Rooms</t>
  </si>
  <si>
    <t>Age of House (years)</t>
  </si>
  <si>
    <t>Distance to City Center (miles)</t>
  </si>
  <si>
    <t>House Type</t>
  </si>
  <si>
    <t>House Price ($1000s)</t>
  </si>
  <si>
    <t>Detached</t>
  </si>
  <si>
    <t>Townhouse</t>
  </si>
  <si>
    <t>Apartment</t>
  </si>
  <si>
    <t>Encoded House Type</t>
  </si>
  <si>
    <t>weights</t>
  </si>
  <si>
    <t>weighted sum</t>
  </si>
  <si>
    <t>features times corresponding weights: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</si>
</sst>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F2" sqref="F2"/>
    </sheetView>
  </sheetViews>
  <sheetFormatPr defaultRowHeight="14.5" x14ac:dyDescent="0.35"/>
  <cols>
    <col min="1" max="1" width="9" bestFit="1" customWidth="1"/>
    <col min="2" max="2" width="16.08984375" bestFit="1" customWidth="1"/>
    <col min="3" max="3" width="18.1796875" bestFit="1" customWidth="1"/>
    <col min="4" max="4" width="26.453125" bestFit="1" customWidth="1"/>
    <col min="5" max="5" width="10.54296875" bestFit="1" customWidth="1"/>
    <col min="6" max="7" width="18.3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5</v>
      </c>
    </row>
    <row r="2" spans="1:7" x14ac:dyDescent="0.35">
      <c r="A2">
        <v>3961</v>
      </c>
      <c r="B2">
        <v>1</v>
      </c>
      <c r="C2">
        <v>8</v>
      </c>
      <c r="D2">
        <v>16.859203290352589</v>
      </c>
      <c r="E2" t="s">
        <v>6</v>
      </c>
      <c r="F2">
        <f>IF(E2="Apartment",0, IF(E2="Townhouse",1,2))</f>
        <v>2</v>
      </c>
      <c r="G2">
        <v>350</v>
      </c>
    </row>
    <row r="3" spans="1:7" x14ac:dyDescent="0.35">
      <c r="A3">
        <v>2568</v>
      </c>
      <c r="B3">
        <v>3</v>
      </c>
      <c r="C3">
        <v>19</v>
      </c>
      <c r="D3">
        <v>1.8731145515661061</v>
      </c>
      <c r="E3" t="s">
        <v>7</v>
      </c>
      <c r="F3">
        <f t="shared" ref="F3:F11" si="0">IF(E3="Apartment",0, IF(E3="Townhouse",1,2))</f>
        <v>1</v>
      </c>
      <c r="G3">
        <v>240</v>
      </c>
    </row>
    <row r="4" spans="1:7" x14ac:dyDescent="0.35">
      <c r="A4">
        <v>3503</v>
      </c>
      <c r="B4">
        <v>1</v>
      </c>
      <c r="C4">
        <v>41</v>
      </c>
      <c r="D4">
        <v>12.743941091498399</v>
      </c>
      <c r="E4" t="s">
        <v>7</v>
      </c>
      <c r="F4">
        <f t="shared" si="0"/>
        <v>1</v>
      </c>
      <c r="G4">
        <v>267</v>
      </c>
    </row>
    <row r="5" spans="1:7" x14ac:dyDescent="0.35">
      <c r="A5">
        <v>3505</v>
      </c>
      <c r="B5">
        <v>5</v>
      </c>
      <c r="C5">
        <v>2</v>
      </c>
      <c r="D5">
        <v>6.4610918761000464</v>
      </c>
      <c r="E5" t="s">
        <v>8</v>
      </c>
      <c r="F5">
        <f t="shared" si="0"/>
        <v>0</v>
      </c>
      <c r="G5">
        <v>360</v>
      </c>
    </row>
    <row r="6" spans="1:7" x14ac:dyDescent="0.35">
      <c r="A6">
        <v>3234</v>
      </c>
      <c r="B6">
        <v>1</v>
      </c>
      <c r="C6">
        <v>92</v>
      </c>
      <c r="D6">
        <v>1.9692519921195</v>
      </c>
      <c r="E6" t="s">
        <v>7</v>
      </c>
      <c r="F6">
        <f t="shared" si="0"/>
        <v>1</v>
      </c>
      <c r="G6">
        <v>140</v>
      </c>
    </row>
    <row r="7" spans="1:7" x14ac:dyDescent="0.35">
      <c r="A7">
        <v>3247</v>
      </c>
      <c r="B7">
        <v>3</v>
      </c>
      <c r="C7">
        <v>96</v>
      </c>
      <c r="D7">
        <v>19.084901016967091</v>
      </c>
      <c r="E7" t="s">
        <v>6</v>
      </c>
      <c r="F7">
        <f t="shared" si="0"/>
        <v>2</v>
      </c>
      <c r="G7">
        <v>50</v>
      </c>
    </row>
    <row r="8" spans="1:7" x14ac:dyDescent="0.35">
      <c r="A8">
        <v>3985</v>
      </c>
      <c r="B8">
        <v>3</v>
      </c>
      <c r="C8">
        <v>89</v>
      </c>
      <c r="D8">
        <v>9.9914719827093741</v>
      </c>
      <c r="E8" t="s">
        <v>6</v>
      </c>
      <c r="F8">
        <f t="shared" si="0"/>
        <v>2</v>
      </c>
      <c r="G8">
        <v>130</v>
      </c>
    </row>
    <row r="9" spans="1:7" x14ac:dyDescent="0.35">
      <c r="A9">
        <v>3959</v>
      </c>
      <c r="B9">
        <v>1</v>
      </c>
      <c r="C9">
        <v>68</v>
      </c>
      <c r="D9">
        <v>6.8989770157572723</v>
      </c>
      <c r="E9" t="s">
        <v>8</v>
      </c>
      <c r="F9">
        <f t="shared" si="0"/>
        <v>0</v>
      </c>
      <c r="G9">
        <v>150</v>
      </c>
    </row>
    <row r="10" spans="1:7" x14ac:dyDescent="0.35">
      <c r="A10">
        <v>830</v>
      </c>
      <c r="B10">
        <v>5</v>
      </c>
      <c r="C10">
        <v>1</v>
      </c>
      <c r="D10">
        <v>10.130927446076971</v>
      </c>
      <c r="E10" t="s">
        <v>8</v>
      </c>
      <c r="F10">
        <f t="shared" si="0"/>
        <v>0</v>
      </c>
      <c r="G10">
        <v>75</v>
      </c>
    </row>
    <row r="11" spans="1:7" x14ac:dyDescent="0.35">
      <c r="A11">
        <v>3674</v>
      </c>
      <c r="B11">
        <v>1</v>
      </c>
      <c r="C11">
        <v>61</v>
      </c>
      <c r="D11">
        <v>7.7595139479539901</v>
      </c>
      <c r="E11" t="s">
        <v>7</v>
      </c>
      <c r="F11">
        <f t="shared" si="0"/>
        <v>1</v>
      </c>
      <c r="G11">
        <v>290</v>
      </c>
    </row>
    <row r="13" spans="1:7" x14ac:dyDescent="0.35">
      <c r="A13" s="2" t="s">
        <v>10</v>
      </c>
    </row>
    <row r="14" spans="1:7" x14ac:dyDescent="0.35">
      <c r="A14">
        <v>0.1</v>
      </c>
      <c r="B14">
        <v>0.5</v>
      </c>
      <c r="C14">
        <v>0.01</v>
      </c>
      <c r="D14">
        <v>-0.1</v>
      </c>
      <c r="F14">
        <v>0.5</v>
      </c>
    </row>
    <row r="15" spans="1:7" x14ac:dyDescent="0.35">
      <c r="A15" s="2" t="s">
        <v>12</v>
      </c>
      <c r="G15" s="2" t="s">
        <v>11</v>
      </c>
    </row>
    <row r="16" spans="1:7" x14ac:dyDescent="0.35">
      <c r="A16">
        <f>A2*A$14</f>
        <v>396.1</v>
      </c>
      <c r="B16">
        <f t="shared" ref="B16:F16" si="1">B2*B$14</f>
        <v>0.5</v>
      </c>
      <c r="C16">
        <f t="shared" si="1"/>
        <v>0.08</v>
      </c>
      <c r="D16">
        <f t="shared" si="1"/>
        <v>-1.6859203290352589</v>
      </c>
      <c r="F16">
        <f t="shared" si="1"/>
        <v>1</v>
      </c>
      <c r="G16">
        <f>SUM(A16:F16)</f>
        <v>395.99407967096477</v>
      </c>
    </row>
    <row r="17" spans="1:7" x14ac:dyDescent="0.35">
      <c r="A17">
        <f t="shared" ref="A17:F24" si="2">A3*A$14</f>
        <v>256.8</v>
      </c>
      <c r="B17">
        <f t="shared" si="2"/>
        <v>1.5</v>
      </c>
      <c r="C17">
        <f t="shared" si="2"/>
        <v>0.19</v>
      </c>
      <c r="D17">
        <f t="shared" si="2"/>
        <v>-0.18731145515661063</v>
      </c>
      <c r="F17">
        <f t="shared" si="2"/>
        <v>0.5</v>
      </c>
      <c r="G17">
        <f t="shared" ref="G17:G25" si="3">SUM(A17:F17)</f>
        <v>258.80268854484342</v>
      </c>
    </row>
    <row r="18" spans="1:7" x14ac:dyDescent="0.35">
      <c r="A18">
        <f t="shared" si="2"/>
        <v>350.3</v>
      </c>
      <c r="B18">
        <f t="shared" si="2"/>
        <v>0.5</v>
      </c>
      <c r="C18">
        <f t="shared" si="2"/>
        <v>0.41000000000000003</v>
      </c>
      <c r="D18">
        <f t="shared" si="2"/>
        <v>-1.2743941091498401</v>
      </c>
      <c r="F18">
        <f t="shared" si="2"/>
        <v>0.5</v>
      </c>
      <c r="G18">
        <f t="shared" si="3"/>
        <v>350.43560589085018</v>
      </c>
    </row>
    <row r="19" spans="1:7" x14ac:dyDescent="0.35">
      <c r="A19">
        <f t="shared" si="2"/>
        <v>350.5</v>
      </c>
      <c r="B19">
        <f t="shared" si="2"/>
        <v>2.5</v>
      </c>
      <c r="C19">
        <f t="shared" si="2"/>
        <v>0.02</v>
      </c>
      <c r="D19">
        <f t="shared" si="2"/>
        <v>-0.64610918761000469</v>
      </c>
      <c r="F19">
        <f t="shared" si="2"/>
        <v>0</v>
      </c>
      <c r="G19">
        <f t="shared" si="3"/>
        <v>352.37389081238996</v>
      </c>
    </row>
    <row r="20" spans="1:7" x14ac:dyDescent="0.35">
      <c r="A20">
        <f t="shared" si="2"/>
        <v>323.40000000000003</v>
      </c>
      <c r="B20">
        <f t="shared" si="2"/>
        <v>0.5</v>
      </c>
      <c r="C20">
        <f t="shared" si="2"/>
        <v>0.92</v>
      </c>
      <c r="D20">
        <f t="shared" si="2"/>
        <v>-0.19692519921195001</v>
      </c>
      <c r="F20">
        <f t="shared" si="2"/>
        <v>0.5</v>
      </c>
      <c r="G20">
        <f t="shared" si="3"/>
        <v>325.12307480078812</v>
      </c>
    </row>
    <row r="21" spans="1:7" x14ac:dyDescent="0.35">
      <c r="A21">
        <f t="shared" si="2"/>
        <v>324.70000000000005</v>
      </c>
      <c r="B21">
        <f t="shared" si="2"/>
        <v>1.5</v>
      </c>
      <c r="C21">
        <f t="shared" si="2"/>
        <v>0.96</v>
      </c>
      <c r="D21">
        <f t="shared" si="2"/>
        <v>-1.9084901016967093</v>
      </c>
      <c r="F21">
        <f t="shared" si="2"/>
        <v>1</v>
      </c>
      <c r="G21">
        <f t="shared" si="3"/>
        <v>326.25150989830331</v>
      </c>
    </row>
    <row r="22" spans="1:7" x14ac:dyDescent="0.35">
      <c r="A22">
        <f t="shared" si="2"/>
        <v>398.5</v>
      </c>
      <c r="B22">
        <f t="shared" si="2"/>
        <v>1.5</v>
      </c>
      <c r="C22">
        <f t="shared" si="2"/>
        <v>0.89</v>
      </c>
      <c r="D22">
        <f t="shared" si="2"/>
        <v>-0.99914719827093745</v>
      </c>
      <c r="F22">
        <f t="shared" si="2"/>
        <v>1</v>
      </c>
      <c r="G22">
        <f t="shared" si="3"/>
        <v>400.89085280172907</v>
      </c>
    </row>
    <row r="23" spans="1:7" x14ac:dyDescent="0.35">
      <c r="A23">
        <f t="shared" si="2"/>
        <v>395.90000000000003</v>
      </c>
      <c r="B23">
        <f t="shared" si="2"/>
        <v>0.5</v>
      </c>
      <c r="C23">
        <f t="shared" si="2"/>
        <v>0.68</v>
      </c>
      <c r="D23">
        <f t="shared" si="2"/>
        <v>-0.68989770157572727</v>
      </c>
      <c r="F23">
        <f t="shared" si="2"/>
        <v>0</v>
      </c>
      <c r="G23">
        <f t="shared" si="3"/>
        <v>396.39010229842432</v>
      </c>
    </row>
    <row r="24" spans="1:7" x14ac:dyDescent="0.35">
      <c r="A24">
        <f t="shared" si="2"/>
        <v>83</v>
      </c>
      <c r="B24">
        <f t="shared" si="2"/>
        <v>2.5</v>
      </c>
      <c r="C24">
        <f t="shared" si="2"/>
        <v>0.01</v>
      </c>
      <c r="D24">
        <f t="shared" si="2"/>
        <v>-1.0130927446076972</v>
      </c>
      <c r="F24">
        <f t="shared" si="2"/>
        <v>0</v>
      </c>
      <c r="G24">
        <f t="shared" si="3"/>
        <v>84.496907255392301</v>
      </c>
    </row>
    <row r="25" spans="1:7" x14ac:dyDescent="0.35">
      <c r="A25">
        <f>A11*A$14</f>
        <v>367.40000000000003</v>
      </c>
      <c r="B25">
        <f t="shared" ref="B25:F25" si="4">B11*B$14</f>
        <v>0.5</v>
      </c>
      <c r="C25">
        <f t="shared" si="4"/>
        <v>0.61</v>
      </c>
      <c r="D25">
        <f t="shared" si="4"/>
        <v>-0.7759513947953991</v>
      </c>
      <c r="F25">
        <f t="shared" si="4"/>
        <v>0.5</v>
      </c>
      <c r="G25">
        <f t="shared" si="3"/>
        <v>368.23404860520463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Andy Louwyck</cp:lastModifiedBy>
  <dcterms:created xsi:type="dcterms:W3CDTF">2025-03-19T08:43:45Z</dcterms:created>
  <dcterms:modified xsi:type="dcterms:W3CDTF">2025-03-19T12:45:45Z</dcterms:modified>
</cp:coreProperties>
</file>